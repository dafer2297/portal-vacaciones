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Historica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Ficha_Individ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Apoyo_Filtro</t>
        </is>
      </c>
      <c r="B1" t="inlineStr">
        <is>
          <t>Cédula</t>
        </is>
      </c>
      <c r="C1" t="inlineStr">
        <is>
          <t>ID Petición</t>
        </is>
      </c>
      <c r="D1" t="inlineStr">
        <is>
          <t>Empleado</t>
        </is>
      </c>
      <c r="E1" t="inlineStr">
        <is>
          <t>Régimen Laboral</t>
        </is>
      </c>
      <c r="F1" t="inlineStr">
        <is>
          <t>Fecha Ingreso</t>
        </is>
      </c>
      <c r="G1" t="inlineStr">
        <is>
          <t>Tipo de Ausencia</t>
        </is>
      </c>
      <c r="H1" t="inlineStr">
        <is>
          <t>Desde</t>
        </is>
      </c>
      <c r="I1" t="inlineStr">
        <is>
          <t>Hasta</t>
        </is>
      </c>
      <c r="J1" t="inlineStr">
        <is>
          <t>Tiempo (Odoo)</t>
        </is>
      </c>
      <c r="K1" t="inlineStr">
        <is>
          <t>Días Consumidos (Calculado)</t>
        </is>
      </c>
      <c r="L1" t="inlineStr">
        <is>
          <t>Aprobado por</t>
        </is>
      </c>
    </row>
    <row r="2">
      <c r="A2">
        <f>IF(D2=Ficha_Individual!$B$3, COUNTIF(D$2:D2, Ficha_Individual!$B$3), "")</f>
        <v/>
      </c>
      <c r="B2" t="inlineStr">
        <is>
          <t>0102030405</t>
        </is>
      </c>
      <c r="C2" t="n">
        <v>6067</v>
      </c>
      <c r="D2" t="inlineStr">
        <is>
          <t>ANDRADE JUAN</t>
        </is>
      </c>
      <c r="E2" t="inlineStr">
        <is>
          <t>LOSEP</t>
        </is>
      </c>
      <c r="F2" t="inlineStr">
        <is>
          <t>2022-01-01</t>
        </is>
      </c>
      <c r="G2" t="inlineStr">
        <is>
          <t>Vacaciones</t>
        </is>
      </c>
      <c r="H2" t="inlineStr">
        <is>
          <t>2024-03-11 08:00:00</t>
        </is>
      </c>
      <c r="I2" t="inlineStr">
        <is>
          <t>2024-03-15 16:30:00</t>
        </is>
      </c>
      <c r="J2" t="inlineStr">
        <is>
          <t>5 días</t>
        </is>
      </c>
      <c r="K2" t="n">
        <v>6.81</v>
      </c>
      <c r="L2" t="inlineStr">
        <is>
          <t>DIRECTOR TH</t>
        </is>
      </c>
    </row>
    <row r="3">
      <c r="A3">
        <f>IF(D3=Ficha_Individual!$B$3, COUNTIF(D$2:D3, Ficha_Individual!$B$3), "")</f>
        <v/>
      </c>
      <c r="B3" t="inlineStr">
        <is>
          <t>0102030405</t>
        </is>
      </c>
      <c r="C3" t="n">
        <v>9413</v>
      </c>
      <c r="D3" t="inlineStr">
        <is>
          <t>ANDRADE JUAN</t>
        </is>
      </c>
      <c r="E3" t="inlineStr">
        <is>
          <t>LOSEP</t>
        </is>
      </c>
      <c r="F3" t="inlineStr">
        <is>
          <t>2022-01-01</t>
        </is>
      </c>
      <c r="G3" t="inlineStr">
        <is>
          <t>Vacaciones</t>
        </is>
      </c>
      <c r="H3" t="inlineStr">
        <is>
          <t>2024-06-20 08:00:00</t>
        </is>
      </c>
      <c r="I3" t="inlineStr">
        <is>
          <t>2024-06-21 16:30:00</t>
        </is>
      </c>
      <c r="J3" t="inlineStr">
        <is>
          <t>1 días</t>
        </is>
      </c>
      <c r="K3" t="n">
        <v>1.36</v>
      </c>
      <c r="L3" t="inlineStr">
        <is>
          <t>JEFE RRHH</t>
        </is>
      </c>
    </row>
    <row r="4">
      <c r="A4">
        <f>IF(D4=Ficha_Individual!$B$3, COUNTIF(D$2:D4, Ficha_Individual!$B$3), "")</f>
        <v/>
      </c>
      <c r="B4" t="inlineStr">
        <is>
          <t>0102030405</t>
        </is>
      </c>
      <c r="C4" t="n">
        <v>10221</v>
      </c>
      <c r="D4" t="inlineStr">
        <is>
          <t>ANDRADE JUAN</t>
        </is>
      </c>
      <c r="E4" t="inlineStr">
        <is>
          <t>LOSEP</t>
        </is>
      </c>
      <c r="F4" t="inlineStr">
        <is>
          <t>2022-01-01</t>
        </is>
      </c>
      <c r="G4" t="inlineStr">
        <is>
          <t>Vacaciones</t>
        </is>
      </c>
      <c r="H4" t="inlineStr">
        <is>
          <t>2024-09-05 08:00:00</t>
        </is>
      </c>
      <c r="I4" t="inlineStr">
        <is>
          <t>2024-09-07 16:30:00</t>
        </is>
      </c>
      <c r="J4" t="inlineStr">
        <is>
          <t>2 días</t>
        </is>
      </c>
      <c r="K4" t="n">
        <v>2.72</v>
      </c>
      <c r="L4" t="inlineStr">
        <is>
          <t>DIRECTOR TH</t>
        </is>
      </c>
    </row>
    <row r="5">
      <c r="A5">
        <f>IF(D5=Ficha_Individual!$B$3, COUNTIF(D$2:D5, Ficha_Individual!$B$3), "")</f>
        <v/>
      </c>
      <c r="B5" t="inlineStr">
        <is>
          <t>0102030405</t>
        </is>
      </c>
      <c r="C5" t="n">
        <v>11540</v>
      </c>
      <c r="D5" t="inlineStr">
        <is>
          <t>ANDRADE JUAN</t>
        </is>
      </c>
      <c r="E5" t="inlineStr">
        <is>
          <t>LOSEP</t>
        </is>
      </c>
      <c r="F5" t="inlineStr">
        <is>
          <t>2022-01-01</t>
        </is>
      </c>
      <c r="G5" t="inlineStr">
        <is>
          <t>Vacaciones</t>
        </is>
      </c>
      <c r="H5" t="inlineStr">
        <is>
          <t>2024-12-24 08:00:00</t>
        </is>
      </c>
      <c r="I5" t="inlineStr">
        <is>
          <t>2024-12-26 16:30:00</t>
        </is>
      </c>
      <c r="J5" t="inlineStr">
        <is>
          <t>2 días</t>
        </is>
      </c>
      <c r="K5" t="n">
        <v>2.72</v>
      </c>
      <c r="L5" t="inlineStr">
        <is>
          <t>JEFE RRHH</t>
        </is>
      </c>
    </row>
    <row r="6">
      <c r="A6">
        <f>IF(D6=Ficha_Individual!$B$3, COUNTIF(D$2:D6, Ficha_Individual!$B$3), "")</f>
        <v/>
      </c>
      <c r="B6" t="inlineStr">
        <is>
          <t>0102030406</t>
        </is>
      </c>
      <c r="C6" t="n">
        <v>8191</v>
      </c>
      <c r="D6" t="inlineStr">
        <is>
          <t>CASTRO DIANA</t>
        </is>
      </c>
      <c r="E6" t="inlineStr">
        <is>
          <t>LOSEP</t>
        </is>
      </c>
      <c r="F6" t="inlineStr">
        <is>
          <t>2023-06-01</t>
        </is>
      </c>
      <c r="G6" t="inlineStr">
        <is>
          <t>Vacaciones</t>
        </is>
      </c>
      <c r="H6" t="inlineStr">
        <is>
          <t>2024-05-10 15:00:00</t>
        </is>
      </c>
      <c r="I6" t="inlineStr">
        <is>
          <t>2024-05-10 16:30:00</t>
        </is>
      </c>
      <c r="J6" t="inlineStr">
        <is>
          <t>1 horas 30 minutos</t>
        </is>
      </c>
      <c r="K6" t="n">
        <v>0.08</v>
      </c>
      <c r="L6" t="inlineStr">
        <is>
          <t>JEFE RRHH</t>
        </is>
      </c>
    </row>
    <row r="7">
      <c r="A7">
        <f>IF(D7=Ficha_Individual!$B$3, COUNTIF(D$2:D7, Ficha_Individual!$B$3), "")</f>
        <v/>
      </c>
      <c r="B7" t="inlineStr">
        <is>
          <t>0102030406</t>
        </is>
      </c>
      <c r="C7" t="n">
        <v>9850</v>
      </c>
      <c r="D7" t="inlineStr">
        <is>
          <t>CASTRO DIANA</t>
        </is>
      </c>
      <c r="E7" t="inlineStr">
        <is>
          <t>LOSEP</t>
        </is>
      </c>
      <c r="F7" t="inlineStr">
        <is>
          <t>2023-06-01</t>
        </is>
      </c>
      <c r="G7" t="inlineStr">
        <is>
          <t>Vacaciones</t>
        </is>
      </c>
      <c r="H7" t="inlineStr">
        <is>
          <t>2024-07-02 08:00:00</t>
        </is>
      </c>
      <c r="I7" t="inlineStr">
        <is>
          <t>2024-07-05 16:30:00</t>
        </is>
      </c>
      <c r="J7" t="inlineStr">
        <is>
          <t>3 días</t>
        </is>
      </c>
      <c r="K7" t="n">
        <v>4.09</v>
      </c>
      <c r="L7" t="inlineStr">
        <is>
          <t>ANALISTA TH 1</t>
        </is>
      </c>
    </row>
    <row r="8">
      <c r="A8">
        <f>IF(D8=Ficha_Individual!$B$3, COUNTIF(D$2:D8, Ficha_Individual!$B$3), "")</f>
        <v/>
      </c>
      <c r="B8" t="inlineStr">
        <is>
          <t>0102030406</t>
        </is>
      </c>
      <c r="C8" t="n">
        <v>12110</v>
      </c>
      <c r="D8" t="inlineStr">
        <is>
          <t>CASTRO DIANA</t>
        </is>
      </c>
      <c r="E8" t="inlineStr">
        <is>
          <t>LOSEP</t>
        </is>
      </c>
      <c r="F8" t="inlineStr">
        <is>
          <t>2023-06-01</t>
        </is>
      </c>
      <c r="G8" t="inlineStr">
        <is>
          <t>Vacaciones</t>
        </is>
      </c>
      <c r="H8" t="inlineStr">
        <is>
          <t>2024-10-15 08:00:00</t>
        </is>
      </c>
      <c r="I8" t="inlineStr">
        <is>
          <t>2024-10-17 16:30:00</t>
        </is>
      </c>
      <c r="J8" t="inlineStr">
        <is>
          <t>2 días</t>
        </is>
      </c>
      <c r="K8" t="n">
        <v>2.72</v>
      </c>
      <c r="L8" t="inlineStr">
        <is>
          <t>DIRECTOR TH</t>
        </is>
      </c>
    </row>
    <row r="9">
      <c r="A9">
        <f>IF(D9=Ficha_Individual!$B$3, COUNTIF(D$2:D9, Ficha_Individual!$B$3), "")</f>
        <v/>
      </c>
      <c r="B9" t="inlineStr">
        <is>
          <t>0102030407</t>
        </is>
      </c>
      <c r="C9" t="n">
        <v>8901</v>
      </c>
      <c r="D9" t="inlineStr">
        <is>
          <t>MENDIETA LUIS</t>
        </is>
      </c>
      <c r="E9" t="inlineStr">
        <is>
          <t>LOSEP</t>
        </is>
      </c>
      <c r="F9" t="inlineStr">
        <is>
          <t>2024-01-15</t>
        </is>
      </c>
      <c r="G9" t="inlineStr">
        <is>
          <t>Vacaciones</t>
        </is>
      </c>
      <c r="H9" t="inlineStr">
        <is>
          <t>2024-04-12 08:00:00</t>
        </is>
      </c>
      <c r="I9" t="inlineStr">
        <is>
          <t>2024-04-13 16:30:00</t>
        </is>
      </c>
      <c r="J9" t="inlineStr">
        <is>
          <t>1 días</t>
        </is>
      </c>
      <c r="K9" t="n">
        <v>1.36</v>
      </c>
      <c r="L9" t="inlineStr">
        <is>
          <t>ANALISTA TH 2</t>
        </is>
      </c>
    </row>
    <row r="10">
      <c r="A10">
        <f>IF(D10=Ficha_Individual!$B$3, COUNTIF(D$2:D10, Ficha_Individual!$B$3), "")</f>
        <v/>
      </c>
      <c r="B10" t="inlineStr">
        <is>
          <t>0102030407</t>
        </is>
      </c>
      <c r="C10" t="n">
        <v>10560</v>
      </c>
      <c r="D10" t="inlineStr">
        <is>
          <t>MENDIETA LUIS</t>
        </is>
      </c>
      <c r="E10" t="inlineStr">
        <is>
          <t>LOSEP</t>
        </is>
      </c>
      <c r="F10" t="inlineStr">
        <is>
          <t>2024-01-15</t>
        </is>
      </c>
      <c r="G10" t="inlineStr">
        <is>
          <t>Vacaciones</t>
        </is>
      </c>
      <c r="H10" t="inlineStr">
        <is>
          <t>2024-08-19 08:00:00</t>
        </is>
      </c>
      <c r="I10" t="inlineStr">
        <is>
          <t>2024-08-21 16:30:00</t>
        </is>
      </c>
      <c r="J10" t="inlineStr">
        <is>
          <t>2 días</t>
        </is>
      </c>
      <c r="K10" t="n">
        <v>2.72</v>
      </c>
      <c r="L10" t="inlineStr">
        <is>
          <t>JEFE RRHH</t>
        </is>
      </c>
    </row>
    <row r="11">
      <c r="A11">
        <f>IF(D11=Ficha_Individual!$B$3, COUNTIF(D$2:D11, Ficha_Individual!$B$3), "")</f>
        <v/>
      </c>
      <c r="B11" t="inlineStr">
        <is>
          <t>0102030407</t>
        </is>
      </c>
      <c r="C11" t="n">
        <v>13400</v>
      </c>
      <c r="D11" t="inlineStr">
        <is>
          <t>MENDIETA LUIS</t>
        </is>
      </c>
      <c r="E11" t="inlineStr">
        <is>
          <t>LOSEP</t>
        </is>
      </c>
      <c r="F11" t="inlineStr">
        <is>
          <t>2024-01-15</t>
        </is>
      </c>
      <c r="G11" t="inlineStr">
        <is>
          <t>Vacaciones</t>
        </is>
      </c>
      <c r="H11" t="inlineStr">
        <is>
          <t>2024-11-03 08:00:00</t>
        </is>
      </c>
      <c r="I11" t="inlineStr">
        <is>
          <t>2024-11-05 16:30:00</t>
        </is>
      </c>
      <c r="J11" t="inlineStr">
        <is>
          <t>2 días</t>
        </is>
      </c>
      <c r="K11" t="n">
        <v>2.72</v>
      </c>
      <c r="L11" t="inlineStr">
        <is>
          <t>DIRECTOR TH</t>
        </is>
      </c>
    </row>
    <row r="12">
      <c r="A12">
        <f>IF(D12=Ficha_Individual!$B$3, COUNTIF(D$2:D12, Ficha_Individual!$B$3), "")</f>
        <v/>
      </c>
      <c r="B12" t="inlineStr">
        <is>
          <t>0102030408</t>
        </is>
      </c>
      <c r="C12" t="n">
        <v>8564</v>
      </c>
      <c r="D12" t="inlineStr">
        <is>
          <t>SALAZAR CARMEN</t>
        </is>
      </c>
      <c r="E12" t="inlineStr">
        <is>
          <t>CÓDIGO TRABAJO</t>
        </is>
      </c>
      <c r="F12" t="inlineStr">
        <is>
          <t>2021-03-01</t>
        </is>
      </c>
      <c r="G12" t="inlineStr">
        <is>
          <t>Vacaciones</t>
        </is>
      </c>
      <c r="H12" t="inlineStr">
        <is>
          <t>2023-12-01 08:00:00</t>
        </is>
      </c>
      <c r="I12" t="inlineStr">
        <is>
          <t>2023-12-15 16:30:00</t>
        </is>
      </c>
      <c r="J12" t="inlineStr">
        <is>
          <t>15 días</t>
        </is>
      </c>
      <c r="K12" t="n">
        <v>15</v>
      </c>
      <c r="L12" t="inlineStr">
        <is>
          <t>DIRECTOR TH</t>
        </is>
      </c>
    </row>
    <row r="13">
      <c r="A13">
        <f>IF(D13=Ficha_Individual!$B$3, COUNTIF(D$2:D13, Ficha_Individual!$B$3), "")</f>
        <v/>
      </c>
      <c r="B13" t="inlineStr">
        <is>
          <t>0102030408</t>
        </is>
      </c>
      <c r="C13" t="n">
        <v>9210</v>
      </c>
      <c r="D13" t="inlineStr">
        <is>
          <t>SALAZAR CARMEN</t>
        </is>
      </c>
      <c r="E13" t="inlineStr">
        <is>
          <t>CÓDIGO TRABAJO</t>
        </is>
      </c>
      <c r="F13" t="inlineStr">
        <is>
          <t>2021-03-01</t>
        </is>
      </c>
      <c r="G13" t="inlineStr">
        <is>
          <t>Vacaciones</t>
        </is>
      </c>
      <c r="H13" t="inlineStr">
        <is>
          <t>2024-02-10 08:00:00</t>
        </is>
      </c>
      <c r="I13" t="inlineStr">
        <is>
          <t>2024-02-12 16:30:00</t>
        </is>
      </c>
      <c r="J13" t="inlineStr">
        <is>
          <t>2 días</t>
        </is>
      </c>
      <c r="K13" t="n">
        <v>2</v>
      </c>
      <c r="L13" t="inlineStr">
        <is>
          <t>ANALISTA TH 1</t>
        </is>
      </c>
    </row>
    <row r="14">
      <c r="A14">
        <f>IF(D14=Ficha_Individual!$B$3, COUNTIF(D$2:D14, Ficha_Individual!$B$3), "")</f>
        <v/>
      </c>
      <c r="B14" t="inlineStr">
        <is>
          <t>0102030408</t>
        </is>
      </c>
      <c r="C14" t="n">
        <v>10450</v>
      </c>
      <c r="D14" t="inlineStr">
        <is>
          <t>SALAZAR CARMEN</t>
        </is>
      </c>
      <c r="E14" t="inlineStr">
        <is>
          <t>CÓDIGO TRABAJO</t>
        </is>
      </c>
      <c r="F14" t="inlineStr">
        <is>
          <t>2021-03-01</t>
        </is>
      </c>
      <c r="G14" t="inlineStr">
        <is>
          <t>Vacaciones</t>
        </is>
      </c>
      <c r="H14" t="inlineStr">
        <is>
          <t>2024-05-20 08:00:00</t>
        </is>
      </c>
      <c r="I14" t="inlineStr">
        <is>
          <t>2024-05-22 16:30:00</t>
        </is>
      </c>
      <c r="J14" t="inlineStr">
        <is>
          <t>2 días</t>
        </is>
      </c>
      <c r="K14" t="n">
        <v>2</v>
      </c>
      <c r="L14" t="inlineStr">
        <is>
          <t>JEFE RRHH</t>
        </is>
      </c>
    </row>
    <row r="15">
      <c r="A15">
        <f>IF(D15=Ficha_Individual!$B$3, COUNTIF(D$2:D15, Ficha_Individual!$B$3), "")</f>
        <v/>
      </c>
      <c r="B15" t="inlineStr">
        <is>
          <t>0102030408</t>
        </is>
      </c>
      <c r="C15" t="n">
        <v>11990</v>
      </c>
      <c r="D15" t="inlineStr">
        <is>
          <t>SALAZAR CARMEN</t>
        </is>
      </c>
      <c r="E15" t="inlineStr">
        <is>
          <t>CÓDIGO TRABAJO</t>
        </is>
      </c>
      <c r="F15" t="inlineStr">
        <is>
          <t>2021-03-01</t>
        </is>
      </c>
      <c r="G15" t="inlineStr">
        <is>
          <t>Vacaciones</t>
        </is>
      </c>
      <c r="H15" t="inlineStr">
        <is>
          <t>2024-08-11 08:00:00</t>
        </is>
      </c>
      <c r="I15" t="inlineStr">
        <is>
          <t>2024-08-13 16:30:00</t>
        </is>
      </c>
      <c r="J15" t="inlineStr">
        <is>
          <t>2 días</t>
        </is>
      </c>
      <c r="K15" t="n">
        <v>2</v>
      </c>
      <c r="L15" t="inlineStr">
        <is>
          <t>DIRECTOR TH</t>
        </is>
      </c>
    </row>
    <row r="16">
      <c r="A16">
        <f>IF(D16=Ficha_Individual!$B$3, COUNTIF(D$2:D16, Ficha_Individual!$B$3), "")</f>
        <v/>
      </c>
      <c r="B16" t="inlineStr">
        <is>
          <t>0102030408</t>
        </is>
      </c>
      <c r="C16" t="n">
        <v>14230</v>
      </c>
      <c r="D16" t="inlineStr">
        <is>
          <t>SALAZAR CARMEN</t>
        </is>
      </c>
      <c r="E16" t="inlineStr">
        <is>
          <t>CÓDIGO TRABAJO</t>
        </is>
      </c>
      <c r="F16" t="inlineStr">
        <is>
          <t>2021-03-01</t>
        </is>
      </c>
      <c r="G16" t="inlineStr">
        <is>
          <t>Vacaciones</t>
        </is>
      </c>
      <c r="H16" t="inlineStr">
        <is>
          <t>2024-12-05 08:00:00</t>
        </is>
      </c>
      <c r="I16" t="inlineStr">
        <is>
          <t>2024-12-07 16:30:00</t>
        </is>
      </c>
      <c r="J16" t="inlineStr">
        <is>
          <t>2 días</t>
        </is>
      </c>
      <c r="K16" t="n">
        <v>2</v>
      </c>
      <c r="L16" t="inlineStr">
        <is>
          <t>JEFE RRHH</t>
        </is>
      </c>
    </row>
    <row r="17">
      <c r="A17">
        <f>IF(D17=Ficha_Individual!$B$3, COUNTIF(D$2:D17, Ficha_Individual!$B$3), "")</f>
        <v/>
      </c>
      <c r="B17" t="inlineStr">
        <is>
          <t>0102030409</t>
        </is>
      </c>
      <c r="C17" t="n">
        <v>15308</v>
      </c>
      <c r="D17" t="inlineStr">
        <is>
          <t>VELEZ PEDRO</t>
        </is>
      </c>
      <c r="E17" t="inlineStr">
        <is>
          <t>CÓDIGO TRABAJO</t>
        </is>
      </c>
      <c r="F17" t="inlineStr">
        <is>
          <t>2023-10-01</t>
        </is>
      </c>
      <c r="G17" t="inlineStr">
        <is>
          <t>Vacaciones</t>
        </is>
      </c>
      <c r="H17" t="inlineStr">
        <is>
          <t>2024-02-14 08:00:00</t>
        </is>
      </c>
      <c r="I17" t="inlineStr">
        <is>
          <t>2024-02-15 16:30:00</t>
        </is>
      </c>
      <c r="J17" t="inlineStr">
        <is>
          <t>2 días</t>
        </is>
      </c>
      <c r="K17" t="n">
        <v>2</v>
      </c>
      <c r="L17" t="inlineStr">
        <is>
          <t>ANALISTA TH 1</t>
        </is>
      </c>
    </row>
    <row r="18">
      <c r="A18">
        <f>IF(D18=Ficha_Individual!$B$3, COUNTIF(D$2:D18, Ficha_Individual!$B$3), "")</f>
        <v/>
      </c>
      <c r="B18" t="inlineStr">
        <is>
          <t>0102030409</t>
        </is>
      </c>
      <c r="C18" t="n">
        <v>16100</v>
      </c>
      <c r="D18" t="inlineStr">
        <is>
          <t>VELEZ PEDRO</t>
        </is>
      </c>
      <c r="E18" t="inlineStr">
        <is>
          <t>CÓDIGO TRABAJO</t>
        </is>
      </c>
      <c r="F18" t="inlineStr">
        <is>
          <t>2023-10-01</t>
        </is>
      </c>
      <c r="G18" t="inlineStr">
        <is>
          <t>Vacaciones</t>
        </is>
      </c>
      <c r="H18" t="inlineStr">
        <is>
          <t>2024-06-05 08:00:00</t>
        </is>
      </c>
      <c r="I18" t="inlineStr">
        <is>
          <t>2024-06-07 16:30:00</t>
        </is>
      </c>
      <c r="J18" t="inlineStr">
        <is>
          <t>2 días</t>
        </is>
      </c>
      <c r="K18" t="n">
        <v>2</v>
      </c>
      <c r="L18" t="inlineStr">
        <is>
          <t>JEFE RRHH</t>
        </is>
      </c>
    </row>
    <row r="19">
      <c r="A19">
        <f>IF(D19=Ficha_Individual!$B$3, COUNTIF(D$2:D19, Ficha_Individual!$B$3), "")</f>
        <v/>
      </c>
      <c r="B19" t="inlineStr">
        <is>
          <t>0102030409</t>
        </is>
      </c>
      <c r="C19" t="n">
        <v>17200</v>
      </c>
      <c r="D19" t="inlineStr">
        <is>
          <t>VELEZ PEDRO</t>
        </is>
      </c>
      <c r="E19" t="inlineStr">
        <is>
          <t>CÓDIGO TRABAJO</t>
        </is>
      </c>
      <c r="F19" t="inlineStr">
        <is>
          <t>2023-10-01</t>
        </is>
      </c>
      <c r="G19" t="inlineStr">
        <is>
          <t>Vacaciones</t>
        </is>
      </c>
      <c r="H19" t="inlineStr">
        <is>
          <t>2024-09-12 08:00:00</t>
        </is>
      </c>
      <c r="I19" t="inlineStr">
        <is>
          <t>2024-09-15 16:30:00</t>
        </is>
      </c>
      <c r="J19" t="inlineStr">
        <is>
          <t>3 días</t>
        </is>
      </c>
      <c r="K19" t="n">
        <v>3</v>
      </c>
      <c r="L19" t="inlineStr">
        <is>
          <t>DIRECTOR TH</t>
        </is>
      </c>
    </row>
    <row r="20">
      <c r="A20">
        <f>IF(D20=Ficha_Individual!$B$3, COUNTIF(D$2:D20, Ficha_Individual!$B$3), "")</f>
        <v/>
      </c>
      <c r="B20" t="inlineStr">
        <is>
          <t>0102030409</t>
        </is>
      </c>
      <c r="C20" t="n">
        <v>18900</v>
      </c>
      <c r="D20" t="inlineStr">
        <is>
          <t>VELEZ PEDRO</t>
        </is>
      </c>
      <c r="E20" t="inlineStr">
        <is>
          <t>CÓDIGO TRABAJO</t>
        </is>
      </c>
      <c r="F20" t="inlineStr">
        <is>
          <t>2023-10-01</t>
        </is>
      </c>
      <c r="G20" t="inlineStr">
        <is>
          <t>Vacaciones</t>
        </is>
      </c>
      <c r="H20" t="inlineStr">
        <is>
          <t>2024-11-20 08:00:00</t>
        </is>
      </c>
      <c r="I20" t="inlineStr">
        <is>
          <t>2024-11-21 16:30:00</t>
        </is>
      </c>
      <c r="J20" t="inlineStr">
        <is>
          <t>1 días</t>
        </is>
      </c>
      <c r="K20" t="n">
        <v>1</v>
      </c>
      <c r="L20" t="inlineStr">
        <is>
          <t>ANALISTA TH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Cédula</t>
        </is>
      </c>
      <c r="C1" t="inlineStr">
        <is>
          <t>Régimen Laboral</t>
        </is>
      </c>
      <c r="D1" t="inlineStr">
        <is>
          <t>Antigüedad (Años)</t>
        </is>
      </c>
      <c r="E1" t="inlineStr">
        <is>
          <t>Días Generados</t>
        </is>
      </c>
      <c r="F1" t="inlineStr">
        <is>
          <t>Días Consumidos</t>
        </is>
      </c>
      <c r="G1" t="inlineStr">
        <is>
          <t>Saldo Disponible</t>
        </is>
      </c>
      <c r="H1" t="inlineStr">
        <is>
          <t>Estado</t>
        </is>
      </c>
    </row>
    <row r="2">
      <c r="A2" t="inlineStr">
        <is>
          <t>ANDRADE JUAN</t>
        </is>
      </c>
      <c r="B2" t="inlineStr">
        <is>
          <t>0102030405</t>
        </is>
      </c>
      <c r="C2" t="inlineStr">
        <is>
          <t>LOSEP</t>
        </is>
      </c>
      <c r="D2" t="n">
        <v>4.5</v>
      </c>
      <c r="E2" t="n">
        <v>120</v>
      </c>
      <c r="F2" t="n">
        <v>13.61</v>
      </c>
      <c r="G2" t="n">
        <v>106.39</v>
      </c>
      <c r="H2" t="inlineStr">
        <is>
          <t>Activo</t>
        </is>
      </c>
    </row>
    <row r="3">
      <c r="A3" t="inlineStr">
        <is>
          <t>CASTRO DIANA</t>
        </is>
      </c>
      <c r="B3" t="inlineStr">
        <is>
          <t>0102030406</t>
        </is>
      </c>
      <c r="C3" t="inlineStr">
        <is>
          <t>LOSEP</t>
        </is>
      </c>
      <c r="D3" t="n">
        <v>3.1</v>
      </c>
      <c r="E3" t="n">
        <v>85</v>
      </c>
      <c r="F3" t="n">
        <v>6.89</v>
      </c>
      <c r="G3" t="n">
        <v>78.11</v>
      </c>
      <c r="H3" t="inlineStr">
        <is>
          <t>Activo</t>
        </is>
      </c>
    </row>
    <row r="4">
      <c r="A4" t="inlineStr">
        <is>
          <t>MENDIETA LUIS</t>
        </is>
      </c>
      <c r="B4" t="inlineStr">
        <is>
          <t>0102030407</t>
        </is>
      </c>
      <c r="C4" t="inlineStr">
        <is>
          <t>LOSEP</t>
        </is>
      </c>
      <c r="D4" t="n">
        <v>2.4</v>
      </c>
      <c r="E4" t="n">
        <v>65</v>
      </c>
      <c r="F4" t="n">
        <v>6.8</v>
      </c>
      <c r="G4" t="n">
        <v>58.2</v>
      </c>
      <c r="H4" t="inlineStr">
        <is>
          <t>Activo</t>
        </is>
      </c>
    </row>
    <row r="5">
      <c r="A5" t="inlineStr">
        <is>
          <t>SALAZAR CARMEN</t>
        </is>
      </c>
      <c r="B5" t="inlineStr">
        <is>
          <t>0102030408</t>
        </is>
      </c>
      <c r="C5" t="inlineStr">
        <is>
          <t>CÓDIGO TRABAJO</t>
        </is>
      </c>
      <c r="D5" t="n">
        <v>5.3</v>
      </c>
      <c r="E5" t="n">
        <v>75</v>
      </c>
      <c r="F5" t="n">
        <v>23</v>
      </c>
      <c r="G5" t="n">
        <v>52</v>
      </c>
      <c r="H5" t="inlineStr">
        <is>
          <t>Activo</t>
        </is>
      </c>
    </row>
    <row r="6">
      <c r="A6" t="inlineStr">
        <is>
          <t>VELEZ PEDRO</t>
        </is>
      </c>
      <c r="B6" t="inlineStr">
        <is>
          <t>0102030409</t>
        </is>
      </c>
      <c r="C6" t="inlineStr">
        <is>
          <t>CÓDIGO TRABAJO</t>
        </is>
      </c>
      <c r="D6" t="n">
        <v>2.7</v>
      </c>
      <c r="E6" t="n">
        <v>40</v>
      </c>
      <c r="F6" t="n">
        <v>8</v>
      </c>
      <c r="G6" t="n">
        <v>32</v>
      </c>
      <c r="H6" t="inlineStr">
        <is>
          <t>Activo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DE VACACIONES - TALENTO HUMANO</t>
        </is>
      </c>
    </row>
    <row r="3">
      <c r="A3" t="inlineStr">
        <is>
          <t>Escriba Nombre:</t>
        </is>
      </c>
      <c r="B3" t="inlineStr">
        <is>
          <t>ANDRADE JUAN</t>
        </is>
      </c>
    </row>
    <row r="4">
      <c r="A4" t="inlineStr">
        <is>
          <t>Cédula Identidad:</t>
        </is>
      </c>
      <c r="B4">
        <f>VLOOKUP(B3, Consolidado!A:G, 2, FALSE)</f>
        <v/>
      </c>
    </row>
    <row r="5">
      <c r="A5" t="inlineStr">
        <is>
          <t>Régimen Laboral:</t>
        </is>
      </c>
      <c r="B5">
        <f>VLOOKUP(B3, Consolidado!A:G, 3, FALSE)</f>
        <v/>
      </c>
    </row>
    <row r="6">
      <c r="A6" t="inlineStr">
        <is>
          <t>Saldo Disponible:</t>
        </is>
      </c>
      <c r="B6">
        <f>VLOOKUP(B3, Consolidado!A:G, 6, FALSE)</f>
        <v/>
      </c>
    </row>
    <row r="8">
      <c r="A8" t="inlineStr">
        <is>
          <t>ID Petición</t>
        </is>
      </c>
      <c r="B8" t="inlineStr">
        <is>
          <t>Desde</t>
        </is>
      </c>
      <c r="C8" t="inlineStr">
        <is>
          <t>Hasta</t>
        </is>
      </c>
      <c r="D8" t="inlineStr">
        <is>
          <t>Tiempo Odoo</t>
        </is>
      </c>
      <c r="E8" t="inlineStr">
        <is>
          <t>Días Descontados</t>
        </is>
      </c>
      <c r="F8" t="inlineStr">
        <is>
          <t>Aprobador</t>
        </is>
      </c>
    </row>
    <row r="9">
      <c r="A9">
        <f>IFERROR(VLOOKUP(ROW()-8, Base_Historica!A:L, 3, FALSE), "")</f>
        <v/>
      </c>
      <c r="B9">
        <f>IFERROR(VLOOKUP(ROW()-8, Base_Historica!A:L, 8, FALSE), "")</f>
        <v/>
      </c>
      <c r="C9">
        <f>IFERROR(VLOOKUP(ROW()-8, Base_Historica!A:L, 9, FALSE), "")</f>
        <v/>
      </c>
      <c r="D9">
        <f>IFERROR(VLOOKUP(ROW()-8, Base_Historica!A:L, 10, FALSE), "")</f>
        <v/>
      </c>
      <c r="E9">
        <f>IFERROR(VLOOKUP(ROW()-8, Base_Historica!A:L, 11, FALSE), "")</f>
        <v/>
      </c>
      <c r="F9">
        <f>IFERROR(VLOOKUP(ROW()-8, Base_Historica!A:L, 12, FALSE), "")</f>
        <v/>
      </c>
    </row>
    <row r="10">
      <c r="A10">
        <f>IFERROR(VLOOKUP(ROW()-8, Base_Historica!A:L, 3, FALSE), "")</f>
        <v/>
      </c>
      <c r="B10">
        <f>IFERROR(VLOOKUP(ROW()-8, Base_Historica!A:L, 8, FALSE), "")</f>
        <v/>
      </c>
      <c r="C10">
        <f>IFERROR(VLOOKUP(ROW()-8, Base_Historica!A:L, 9, FALSE), "")</f>
        <v/>
      </c>
      <c r="D10">
        <f>IFERROR(VLOOKUP(ROW()-8, Base_Historica!A:L, 10, FALSE), "")</f>
        <v/>
      </c>
      <c r="E10">
        <f>IFERROR(VLOOKUP(ROW()-8, Base_Historica!A:L, 11, FALSE), "")</f>
        <v/>
      </c>
      <c r="F10">
        <f>IFERROR(VLOOKUP(ROW()-8, Base_Historica!A:L, 12, FALSE), "")</f>
        <v/>
      </c>
    </row>
    <row r="11">
      <c r="A11">
        <f>IFERROR(VLOOKUP(ROW()-8, Base_Historica!A:L, 3, FALSE), "")</f>
        <v/>
      </c>
      <c r="B11">
        <f>IFERROR(VLOOKUP(ROW()-8, Base_Historica!A:L, 8, FALSE), "")</f>
        <v/>
      </c>
      <c r="C11">
        <f>IFERROR(VLOOKUP(ROW()-8, Base_Historica!A:L, 9, FALSE), "")</f>
        <v/>
      </c>
      <c r="D11">
        <f>IFERROR(VLOOKUP(ROW()-8, Base_Historica!A:L, 10, FALSE), "")</f>
        <v/>
      </c>
      <c r="E11">
        <f>IFERROR(VLOOKUP(ROW()-8, Base_Historica!A:L, 11, FALSE), "")</f>
        <v/>
      </c>
      <c r="F11">
        <f>IFERROR(VLOOKUP(ROW()-8, Base_Historica!A:L, 12, FALSE), "")</f>
        <v/>
      </c>
    </row>
    <row r="12">
      <c r="A12">
        <f>IFERROR(VLOOKUP(ROW()-8, Base_Historica!A:L, 3, FALSE), "")</f>
        <v/>
      </c>
      <c r="B12">
        <f>IFERROR(VLOOKUP(ROW()-8, Base_Historica!A:L, 8, FALSE), "")</f>
        <v/>
      </c>
      <c r="C12">
        <f>IFERROR(VLOOKUP(ROW()-8, Base_Historica!A:L, 9, FALSE), "")</f>
        <v/>
      </c>
      <c r="D12">
        <f>IFERROR(VLOOKUP(ROW()-8, Base_Historica!A:L, 10, FALSE), "")</f>
        <v/>
      </c>
      <c r="E12">
        <f>IFERROR(VLOOKUP(ROW()-8, Base_Historica!A:L, 11, FALSE), "")</f>
        <v/>
      </c>
      <c r="F12">
        <f>IFERROR(VLOOKUP(ROW()-8, Base_Historica!A:L, 12, FALSE), "")</f>
        <v/>
      </c>
    </row>
    <row r="13">
      <c r="A13">
        <f>IFERROR(VLOOKUP(ROW()-8, Base_Historica!A:L, 3, FALSE), "")</f>
        <v/>
      </c>
      <c r="B13">
        <f>IFERROR(VLOOKUP(ROW()-8, Base_Historica!A:L, 8, FALSE), "")</f>
        <v/>
      </c>
      <c r="C13">
        <f>IFERROR(VLOOKUP(ROW()-8, Base_Historica!A:L, 9, FALSE), "")</f>
        <v/>
      </c>
      <c r="D13">
        <f>IFERROR(VLOOKUP(ROW()-8, Base_Historica!A:L, 10, FALSE), "")</f>
        <v/>
      </c>
      <c r="E13">
        <f>IFERROR(VLOOKUP(ROW()-8, Base_Historica!A:L, 11, FALSE), "")</f>
        <v/>
      </c>
      <c r="F13">
        <f>IFERROR(VLOOKUP(ROW()-8, Base_Historica!A:L, 12, FALSE), "")</f>
        <v/>
      </c>
    </row>
    <row r="14">
      <c r="A14">
        <f>IFERROR(VLOOKUP(ROW()-8, Base_Historica!A:L, 3, FALSE), "")</f>
        <v/>
      </c>
      <c r="B14">
        <f>IFERROR(VLOOKUP(ROW()-8, Base_Historica!A:L, 8, FALSE), "")</f>
        <v/>
      </c>
      <c r="C14">
        <f>IFERROR(VLOOKUP(ROW()-8, Base_Historica!A:L, 9, FALSE), "")</f>
        <v/>
      </c>
      <c r="D14">
        <f>IFERROR(VLOOKUP(ROW()-8, Base_Historica!A:L, 10, FALSE), "")</f>
        <v/>
      </c>
      <c r="E14">
        <f>IFERROR(VLOOKUP(ROW()-8, Base_Historica!A:L, 11, FALSE), "")</f>
        <v/>
      </c>
      <c r="F14">
        <f>IFERROR(VLOOKUP(ROW()-8, Base_Historica!A:L, 12, FALSE), "")</f>
        <v/>
      </c>
    </row>
    <row r="15">
      <c r="A15">
        <f>IFERROR(VLOOKUP(ROW()-8, Base_Historica!A:L, 3, FALSE), "")</f>
        <v/>
      </c>
      <c r="B15">
        <f>IFERROR(VLOOKUP(ROW()-8, Base_Historica!A:L, 8, FALSE), "")</f>
        <v/>
      </c>
      <c r="C15">
        <f>IFERROR(VLOOKUP(ROW()-8, Base_Historica!A:L, 9, FALSE), "")</f>
        <v/>
      </c>
      <c r="D15">
        <f>IFERROR(VLOOKUP(ROW()-8, Base_Historica!A:L, 10, FALSE), "")</f>
        <v/>
      </c>
      <c r="E15">
        <f>IFERROR(VLOOKUP(ROW()-8, Base_Historica!A:L, 11, FALSE), "")</f>
        <v/>
      </c>
      <c r="F15">
        <f>IFERROR(VLOOKUP(ROW()-8, Base_Historica!A:L, 12, FALSE), "")</f>
        <v/>
      </c>
    </row>
    <row r="16">
      <c r="A16">
        <f>IFERROR(VLOOKUP(ROW()-8, Base_Historica!A:L, 3, FALSE), "")</f>
        <v/>
      </c>
      <c r="B16">
        <f>IFERROR(VLOOKUP(ROW()-8, Base_Historica!A:L, 8, FALSE), "")</f>
        <v/>
      </c>
      <c r="C16">
        <f>IFERROR(VLOOKUP(ROW()-8, Base_Historica!A:L, 9, FALSE), "")</f>
        <v/>
      </c>
      <c r="D16">
        <f>IFERROR(VLOOKUP(ROW()-8, Base_Historica!A:L, 10, FALSE), "")</f>
        <v/>
      </c>
      <c r="E16">
        <f>IFERROR(VLOOKUP(ROW()-8, Base_Historica!A:L, 11, FALSE), "")</f>
        <v/>
      </c>
      <c r="F16">
        <f>IFERROR(VLOOKUP(ROW()-8, Base_Historica!A:L, 12, FALSE), "")</f>
        <v/>
      </c>
    </row>
    <row r="17">
      <c r="A17">
        <f>IFERROR(VLOOKUP(ROW()-8, Base_Historica!A:L, 3, FALSE), "")</f>
        <v/>
      </c>
      <c r="B17">
        <f>IFERROR(VLOOKUP(ROW()-8, Base_Historica!A:L, 8, FALSE), "")</f>
        <v/>
      </c>
      <c r="C17">
        <f>IFERROR(VLOOKUP(ROW()-8, Base_Historica!A:L, 9, FALSE), "")</f>
        <v/>
      </c>
      <c r="D17">
        <f>IFERROR(VLOOKUP(ROW()-8, Base_Historica!A:L, 10, FALSE), "")</f>
        <v/>
      </c>
      <c r="E17">
        <f>IFERROR(VLOOKUP(ROW()-8, Base_Historica!A:L, 11, FALSE), "")</f>
        <v/>
      </c>
      <c r="F17">
        <f>IFERROR(VLOOKUP(ROW()-8, Base_Historica!A:L, 12, FALSE), "")</f>
        <v/>
      </c>
    </row>
    <row r="18">
      <c r="A18">
        <f>IFERROR(VLOOKUP(ROW()-8, Base_Historica!A:L, 3, FALSE), "")</f>
        <v/>
      </c>
      <c r="B18">
        <f>IFERROR(VLOOKUP(ROW()-8, Base_Historica!A:L, 8, FALSE), "")</f>
        <v/>
      </c>
      <c r="C18">
        <f>IFERROR(VLOOKUP(ROW()-8, Base_Historica!A:L, 9, FALSE), "")</f>
        <v/>
      </c>
      <c r="D18">
        <f>IFERROR(VLOOKUP(ROW()-8, Base_Historica!A:L, 10, FALSE), "")</f>
        <v/>
      </c>
      <c r="E18">
        <f>IFERROR(VLOOKUP(ROW()-8, Base_Historica!A:L, 11, FALSE), "")</f>
        <v/>
      </c>
      <c r="F18">
        <f>IFERROR(VLOOKUP(ROW()-8, Base_Historica!A:L, 12, FALSE), "")</f>
        <v/>
      </c>
    </row>
    <row r="19">
      <c r="A19">
        <f>IFERROR(VLOOKUP(ROW()-8, Base_Historica!A:L, 3, FALSE), "")</f>
        <v/>
      </c>
      <c r="B19">
        <f>IFERROR(VLOOKUP(ROW()-8, Base_Historica!A:L, 8, FALSE), "")</f>
        <v/>
      </c>
      <c r="C19">
        <f>IFERROR(VLOOKUP(ROW()-8, Base_Historica!A:L, 9, FALSE), "")</f>
        <v/>
      </c>
      <c r="D19">
        <f>IFERROR(VLOOKUP(ROW()-8, Base_Historica!A:L, 10, FALSE), "")</f>
        <v/>
      </c>
      <c r="E19">
        <f>IFERROR(VLOOKUP(ROW()-8, Base_Historica!A:L, 11, FALSE), "")</f>
        <v/>
      </c>
      <c r="F19">
        <f>IFERROR(VLOOKUP(ROW()-8, Base_Historica!A:L, 12, FALSE), "")</f>
        <v/>
      </c>
    </row>
    <row r="20">
      <c r="A20">
        <f>IFERROR(VLOOKUP(ROW()-8, Base_Historica!A:L, 3, FALSE), "")</f>
        <v/>
      </c>
      <c r="B20">
        <f>IFERROR(VLOOKUP(ROW()-8, Base_Historica!A:L, 8, FALSE), "")</f>
        <v/>
      </c>
      <c r="C20">
        <f>IFERROR(VLOOKUP(ROW()-8, Base_Historica!A:L, 9, FALSE), "")</f>
        <v/>
      </c>
      <c r="D20">
        <f>IFERROR(VLOOKUP(ROW()-8, Base_Historica!A:L, 10, FALSE), "")</f>
        <v/>
      </c>
      <c r="E20">
        <f>IFERROR(VLOOKUP(ROW()-8, Base_Historica!A:L, 11, FALSE), "")</f>
        <v/>
      </c>
      <c r="F20">
        <f>IFERROR(VLOOKUP(ROW()-8, Base_Historica!A:L, 12, FALSE), "")</f>
        <v/>
      </c>
    </row>
    <row r="21">
      <c r="A21">
        <f>IFERROR(VLOOKUP(ROW()-8, Base_Historica!A:L, 3, FALSE), "")</f>
        <v/>
      </c>
      <c r="B21">
        <f>IFERROR(VLOOKUP(ROW()-8, Base_Historica!A:L, 8, FALSE), "")</f>
        <v/>
      </c>
      <c r="C21">
        <f>IFERROR(VLOOKUP(ROW()-8, Base_Historica!A:L, 9, FALSE), "")</f>
        <v/>
      </c>
      <c r="D21">
        <f>IFERROR(VLOOKUP(ROW()-8, Base_Historica!A:L, 10, FALSE), "")</f>
        <v/>
      </c>
      <c r="E21">
        <f>IFERROR(VLOOKUP(ROW()-8, Base_Historica!A:L, 11, FALSE), "")</f>
        <v/>
      </c>
      <c r="F21">
        <f>IFERROR(VLOOKUP(ROW()-8, Base_Historica!A:L, 12, FALSE), "")</f>
        <v/>
      </c>
    </row>
    <row r="22">
      <c r="A22">
        <f>IFERROR(VLOOKUP(ROW()-8, Base_Historica!A:L, 3, FALSE), "")</f>
        <v/>
      </c>
      <c r="B22">
        <f>IFERROR(VLOOKUP(ROW()-8, Base_Historica!A:L, 8, FALSE), "")</f>
        <v/>
      </c>
      <c r="C22">
        <f>IFERROR(VLOOKUP(ROW()-8, Base_Historica!A:L, 9, FALSE), "")</f>
        <v/>
      </c>
      <c r="D22">
        <f>IFERROR(VLOOKUP(ROW()-8, Base_Historica!A:L, 10, FALSE), "")</f>
        <v/>
      </c>
      <c r="E22">
        <f>IFERROR(VLOOKUP(ROW()-8, Base_Historica!A:L, 11, FALSE), "")</f>
        <v/>
      </c>
      <c r="F22">
        <f>IFERROR(VLOOKUP(ROW()-8, Base_Historica!A:L, 12, FALSE), "")</f>
        <v/>
      </c>
    </row>
    <row r="23">
      <c r="A23">
        <f>IFERROR(VLOOKUP(ROW()-8, Base_Historica!A:L, 3, FALSE), "")</f>
        <v/>
      </c>
      <c r="B23">
        <f>IFERROR(VLOOKUP(ROW()-8, Base_Historica!A:L, 8, FALSE), "")</f>
        <v/>
      </c>
      <c r="C23">
        <f>IFERROR(VLOOKUP(ROW()-8, Base_Historica!A:L, 9, FALSE), "")</f>
        <v/>
      </c>
      <c r="D23">
        <f>IFERROR(VLOOKUP(ROW()-8, Base_Historica!A:L, 10, FALSE), "")</f>
        <v/>
      </c>
      <c r="E23">
        <f>IFERROR(VLOOKUP(ROW()-8, Base_Historica!A:L, 11, FALSE), "")</f>
        <v/>
      </c>
      <c r="F23">
        <f>IFERROR(VLOOKUP(ROW()-8, Base_Historica!A:L, 12, FALSE), "")</f>
        <v/>
      </c>
    </row>
    <row r="24">
      <c r="A24">
        <f>IFERROR(VLOOKUP(ROW()-8, Base_Historica!A:L, 3, FALSE), "")</f>
        <v/>
      </c>
      <c r="B24">
        <f>IFERROR(VLOOKUP(ROW()-8, Base_Historica!A:L, 8, FALSE), "")</f>
        <v/>
      </c>
      <c r="C24">
        <f>IFERROR(VLOOKUP(ROW()-8, Base_Historica!A:L, 9, FALSE), "")</f>
        <v/>
      </c>
      <c r="D24">
        <f>IFERROR(VLOOKUP(ROW()-8, Base_Historica!A:L, 10, FALSE), "")</f>
        <v/>
      </c>
      <c r="E24">
        <f>IFERROR(VLOOKUP(ROW()-8, Base_Historica!A:L, 11, FALSE), "")</f>
        <v/>
      </c>
      <c r="F24">
        <f>IFERROR(VLOOKUP(ROW()-8, Base_Historica!A:L, 12, FALSE), "")</f>
        <v/>
      </c>
    </row>
    <row r="25">
      <c r="A25">
        <f>IFERROR(VLOOKUP(ROW()-8, Base_Historica!A:L, 3, FALSE), "")</f>
        <v/>
      </c>
      <c r="B25">
        <f>IFERROR(VLOOKUP(ROW()-8, Base_Historica!A:L, 8, FALSE), "")</f>
        <v/>
      </c>
      <c r="C25">
        <f>IFERROR(VLOOKUP(ROW()-8, Base_Historica!A:L, 9, FALSE), "")</f>
        <v/>
      </c>
      <c r="D25">
        <f>IFERROR(VLOOKUP(ROW()-8, Base_Historica!A:L, 10, FALSE), "")</f>
        <v/>
      </c>
      <c r="E25">
        <f>IFERROR(VLOOKUP(ROW()-8, Base_Historica!A:L, 11, FALSE), "")</f>
        <v/>
      </c>
      <c r="F25">
        <f>IFERROR(VLOOKUP(ROW()-8, Base_Historica!A:L, 12, FALSE), "")</f>
        <v/>
      </c>
    </row>
    <row r="26">
      <c r="A26">
        <f>IFERROR(VLOOKUP(ROW()-8, Base_Historica!A:L, 3, FALSE), "")</f>
        <v/>
      </c>
      <c r="B26">
        <f>IFERROR(VLOOKUP(ROW()-8, Base_Historica!A:L, 8, FALSE), "")</f>
        <v/>
      </c>
      <c r="C26">
        <f>IFERROR(VLOOKUP(ROW()-8, Base_Historica!A:L, 9, FALSE), "")</f>
        <v/>
      </c>
      <c r="D26">
        <f>IFERROR(VLOOKUP(ROW()-8, Base_Historica!A:L, 10, FALSE), "")</f>
        <v/>
      </c>
      <c r="E26">
        <f>IFERROR(VLOOKUP(ROW()-8, Base_Historica!A:L, 11, FALSE), "")</f>
        <v/>
      </c>
      <c r="F26">
        <f>IFERROR(VLOOKUP(ROW()-8, Base_Historica!A:L, 12, FALSE), "")</f>
        <v/>
      </c>
    </row>
    <row r="27">
      <c r="A27">
        <f>IFERROR(VLOOKUP(ROW()-8, Base_Historica!A:L, 3, FALSE), "")</f>
        <v/>
      </c>
      <c r="B27">
        <f>IFERROR(VLOOKUP(ROW()-8, Base_Historica!A:L, 8, FALSE), "")</f>
        <v/>
      </c>
      <c r="C27">
        <f>IFERROR(VLOOKUP(ROW()-8, Base_Historica!A:L, 9, FALSE), "")</f>
        <v/>
      </c>
      <c r="D27">
        <f>IFERROR(VLOOKUP(ROW()-8, Base_Historica!A:L, 10, FALSE), "")</f>
        <v/>
      </c>
      <c r="E27">
        <f>IFERROR(VLOOKUP(ROW()-8, Base_Historica!A:L, 11, FALSE), "")</f>
        <v/>
      </c>
      <c r="F27">
        <f>IFERROR(VLOOKUP(ROW()-8, Base_Historica!A:L, 12, FALSE), "")</f>
        <v/>
      </c>
    </row>
    <row r="28">
      <c r="A28">
        <f>IFERROR(VLOOKUP(ROW()-8, Base_Historica!A:L, 3, FALSE), "")</f>
        <v/>
      </c>
      <c r="B28">
        <f>IFERROR(VLOOKUP(ROW()-8, Base_Historica!A:L, 8, FALSE), "")</f>
        <v/>
      </c>
      <c r="C28">
        <f>IFERROR(VLOOKUP(ROW()-8, Base_Historica!A:L, 9, FALSE), "")</f>
        <v/>
      </c>
      <c r="D28">
        <f>IFERROR(VLOOKUP(ROW()-8, Base_Historica!A:L, 10, FALSE), "")</f>
        <v/>
      </c>
      <c r="E28">
        <f>IFERROR(VLOOKUP(ROW()-8, Base_Historica!A:L, 11, FALSE), "")</f>
        <v/>
      </c>
      <c r="F28">
        <f>IFERROR(VLOOKUP(ROW()-8, Base_Historica!A:L, 12, FALSE), "")</f>
        <v/>
      </c>
    </row>
    <row r="29">
      <c r="A29">
        <f>IFERROR(VLOOKUP(ROW()-8, Base_Historica!A:L, 3, FALSE), "")</f>
        <v/>
      </c>
      <c r="B29">
        <f>IFERROR(VLOOKUP(ROW()-8, Base_Historica!A:L, 8, FALSE), "")</f>
        <v/>
      </c>
      <c r="C29">
        <f>IFERROR(VLOOKUP(ROW()-8, Base_Historica!A:L, 9, FALSE), "")</f>
        <v/>
      </c>
      <c r="D29">
        <f>IFERROR(VLOOKUP(ROW()-8, Base_Historica!A:L, 10, FALSE), "")</f>
        <v/>
      </c>
      <c r="E29">
        <f>IFERROR(VLOOKUP(ROW()-8, Base_Historica!A:L, 11, FALSE), "")</f>
        <v/>
      </c>
      <c r="F29">
        <f>IFERROR(VLOOKUP(ROW()-8, Base_Historica!A:L, 12, FALSE),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2026-07-06T17:47:01Z</dcterms:created>
  <dcterms:modified xmlns:dcterms="http://purl.org/dc/terms/" xmlns:xsi="http://www.w3.org/2001/XMLSchema-instance" xsi:type="dcterms:W3CDTF">2026-07-06T17:47:01Z</dcterms:modified>
</cp:coreProperties>
</file>